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lli\Repositories\FazlijaYlli@github.com\heig-grading-typscript\"/>
    </mc:Choice>
  </mc:AlternateContent>
  <xr:revisionPtr revIDLastSave="0" documentId="8_{C1C84119-3C26-4B18-B11D-57EF6B63D331}" xr6:coauthVersionLast="47" xr6:coauthVersionMax="47" xr10:uidLastSave="{00000000-0000-0000-0000-000000000000}"/>
  <bookViews>
    <workbookView xWindow="28680" yWindow="-120" windowWidth="29040" windowHeight="15720" xr2:uid="{B981C194-32B8-4B77-9C1C-3899EAC35078}"/>
  </bookViews>
  <sheets>
    <sheet name="Grading" sheetId="1" r:id="rId1"/>
  </sheets>
  <definedNames>
    <definedName name="Départ">Grading!$B$8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G20" i="1"/>
  <c r="H20" i="1"/>
  <c r="I20" i="1"/>
  <c r="J20" i="1"/>
  <c r="K20" i="1"/>
  <c r="L20" i="1"/>
  <c r="M20" i="1"/>
  <c r="N20" i="1"/>
  <c r="O20" i="1"/>
  <c r="P20" i="1"/>
  <c r="Q20" i="1"/>
  <c r="F15" i="1"/>
  <c r="G15" i="1"/>
  <c r="H15" i="1"/>
  <c r="I15" i="1"/>
  <c r="J15" i="1"/>
  <c r="K15" i="1"/>
  <c r="L15" i="1"/>
  <c r="M15" i="1"/>
  <c r="N15" i="1"/>
  <c r="O15" i="1"/>
  <c r="P15" i="1"/>
  <c r="Q15" i="1"/>
  <c r="C4" i="1"/>
  <c r="C15" i="1"/>
  <c r="C20" i="1"/>
  <c r="M21" i="1"/>
  <c r="A6" i="1"/>
  <c r="A7" i="1"/>
  <c r="A8" i="1"/>
  <c r="A9" i="1"/>
  <c r="A10" i="1"/>
  <c r="A11" i="1"/>
  <c r="A12" i="1"/>
  <c r="A13" i="1"/>
  <c r="A14" i="1"/>
  <c r="A5" i="1"/>
  <c r="A17" i="1"/>
  <c r="A18" i="1"/>
  <c r="A19" i="1"/>
  <c r="A16" i="1"/>
  <c r="A24" i="1"/>
  <c r="A25" i="1"/>
  <c r="A26" i="1"/>
  <c r="A23" i="1"/>
  <c r="D19" i="1"/>
  <c r="E20" i="1"/>
  <c r="E15" i="1"/>
  <c r="F4" i="1"/>
  <c r="G4" i="1"/>
  <c r="H4" i="1"/>
  <c r="I4" i="1"/>
  <c r="J4" i="1"/>
  <c r="K4" i="1"/>
  <c r="L4" i="1"/>
  <c r="M4" i="1"/>
  <c r="N4" i="1"/>
  <c r="O4" i="1"/>
  <c r="P4" i="1"/>
  <c r="Q4" i="1"/>
  <c r="E4" i="1"/>
  <c r="D20" i="1"/>
  <c r="E21" i="1"/>
  <c r="F21" i="1"/>
  <c r="G21" i="1"/>
  <c r="H21" i="1"/>
  <c r="I21" i="1"/>
  <c r="J21" i="1"/>
  <c r="K21" i="1"/>
  <c r="L21" i="1"/>
  <c r="N21" i="1"/>
  <c r="O21" i="1"/>
  <c r="P21" i="1"/>
  <c r="Q21" i="1"/>
  <c r="D21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D28" i="1"/>
  <c r="D17" i="1"/>
  <c r="D18" i="1"/>
  <c r="D16" i="1"/>
  <c r="D6" i="1"/>
  <c r="D7" i="1"/>
  <c r="D8" i="1"/>
  <c r="D9" i="1"/>
  <c r="D10" i="1"/>
  <c r="D11" i="1"/>
  <c r="D12" i="1"/>
  <c r="D13" i="1"/>
  <c r="D14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Ylli</author>
  </authors>
  <commentList>
    <comment ref="F6" authorId="0" shapeId="0" xr:uid="{71FF6F92-A140-470F-9EA0-DC1C5107A30F}">
      <text>
        <r>
          <rPr>
            <b/>
            <sz val="9"/>
            <color indexed="81"/>
            <rFont val="Tahoma"/>
            <charset val="1"/>
          </rPr>
          <t>Ylli:</t>
        </r>
        <r>
          <rPr>
            <sz val="9"/>
            <color indexed="81"/>
            <rFont val="Tahoma"/>
            <charset val="1"/>
          </rPr>
          <t xml:space="preserve">
Not very good work. (-2 pts)</t>
        </r>
      </text>
    </comment>
    <comment ref="H6" authorId="0" shapeId="0" xr:uid="{F1ED684D-D3E6-4EA1-A363-74BEBF17D18B}">
      <text>
        <r>
          <rPr>
            <b/>
            <sz val="9"/>
            <color indexed="81"/>
            <rFont val="Tahoma"/>
            <charset val="1"/>
          </rPr>
          <t>Ylli:</t>
        </r>
        <r>
          <rPr>
            <sz val="9"/>
            <color indexed="81"/>
            <rFont val="Tahoma"/>
            <charset val="1"/>
          </rPr>
          <t xml:space="preserve">
Great work !</t>
        </r>
      </text>
    </comment>
  </commentList>
</comments>
</file>

<file path=xl/sharedStrings.xml><?xml version="1.0" encoding="utf-8"?>
<sst xmlns="http://schemas.openxmlformats.org/spreadsheetml/2006/main" count="54" uniqueCount="30">
  <si>
    <t>Description</t>
  </si>
  <si>
    <t>Pts</t>
  </si>
  <si>
    <t>Classe</t>
  </si>
  <si>
    <t>Qualité du code</t>
  </si>
  <si>
    <t>Total</t>
  </si>
  <si>
    <t>Note</t>
  </si>
  <si>
    <t>Pénalités diverses</t>
  </si>
  <si>
    <t>Warnings du compilateur</t>
  </si>
  <si>
    <t>Implémentation</t>
  </si>
  <si>
    <t>#</t>
  </si>
  <si>
    <t>Note Finale</t>
  </si>
  <si>
    <t>Impossibilité de compiler</t>
  </si>
  <si>
    <t>Propreté du repository</t>
  </si>
  <si>
    <t>Logique de l'approche</t>
  </si>
  <si>
    <r>
      <t>Retard</t>
    </r>
    <r>
      <rPr>
        <sz val="11"/>
        <color theme="1"/>
        <rFont val="Aptos Narrow"/>
        <family val="2"/>
        <scheme val="minor"/>
      </rPr>
      <t xml:space="preserve"> (1.0 + 0.5 par jour ouvrable)</t>
    </r>
  </si>
  <si>
    <t>Programme principal</t>
  </si>
  <si>
    <t>Bonus / Autres</t>
  </si>
  <si>
    <t>Justesse du travail demandé</t>
  </si>
  <si>
    <r>
      <t>Qualité et choix des</t>
    </r>
    <r>
      <rPr>
        <b/>
        <sz val="11"/>
        <rFont val="Aptos Narrow"/>
        <family val="2"/>
        <scheme val="minor"/>
      </rPr>
      <t xml:space="preserve"> algorithmes</t>
    </r>
  </si>
  <si>
    <r>
      <t>Qualité des</t>
    </r>
    <r>
      <rPr>
        <b/>
        <sz val="11"/>
        <color rgb="FF000000"/>
        <rFont val="Aptos Narrow"/>
        <family val="2"/>
        <scheme val="minor"/>
      </rPr>
      <t xml:space="preserve"> paramètres</t>
    </r>
  </si>
  <si>
    <r>
      <t xml:space="preserve">Qualité et pertinence des </t>
    </r>
    <r>
      <rPr>
        <b/>
        <sz val="11"/>
        <rFont val="Aptos Narrow"/>
        <family val="2"/>
        <scheme val="minor"/>
      </rPr>
      <t>commentaires</t>
    </r>
  </si>
  <si>
    <r>
      <t>Indentation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rFont val="Aptos Narrow"/>
        <family val="2"/>
        <scheme val="minor"/>
      </rPr>
      <t>lisibilité</t>
    </r>
    <r>
      <rPr>
        <sz val="11"/>
        <color theme="1"/>
        <rFont val="Aptos Narrow"/>
        <family val="2"/>
        <scheme val="minor"/>
      </rPr>
      <t xml:space="preserve"> générale du code</t>
    </r>
  </si>
  <si>
    <r>
      <t xml:space="preserve">Utilisation correcte des </t>
    </r>
    <r>
      <rPr>
        <b/>
        <sz val="11"/>
        <rFont val="Aptos Narrow"/>
        <family val="2"/>
        <scheme val="minor"/>
      </rPr>
      <t>librairies</t>
    </r>
  </si>
  <si>
    <r>
      <t>Respect du</t>
    </r>
    <r>
      <rPr>
        <b/>
        <sz val="11"/>
        <color rgb="FF000000"/>
        <rFont val="Aptos Narrow"/>
        <family val="2"/>
        <scheme val="minor"/>
      </rPr>
      <t xml:space="preserve"> style</t>
    </r>
    <r>
      <rPr>
        <sz val="11"/>
        <color rgb="FF000000"/>
        <rFont val="Aptos Narrow"/>
        <family val="2"/>
        <scheme val="minor"/>
      </rPr>
      <t xml:space="preserve"> de programmation</t>
    </r>
  </si>
  <si>
    <r>
      <t xml:space="preserve">Choix des </t>
    </r>
    <r>
      <rPr>
        <b/>
        <sz val="11"/>
        <rFont val="Aptos Narrow"/>
        <family val="2"/>
        <scheme val="minor"/>
      </rPr>
      <t>identificateurs</t>
    </r>
  </si>
  <si>
    <r>
      <t>Déclaration</t>
    </r>
    <r>
      <rPr>
        <sz val="11"/>
        <color theme="1"/>
        <rFont val="Aptos Narrow"/>
        <family val="2"/>
        <scheme val="minor"/>
      </rPr>
      <t xml:space="preserve"> et utilisation de </t>
    </r>
    <r>
      <rPr>
        <b/>
        <sz val="11"/>
        <rFont val="Aptos Narrow"/>
        <family val="2"/>
        <scheme val="minor"/>
      </rPr>
      <t>constantes ou variables</t>
    </r>
  </si>
  <si>
    <r>
      <t>Structure</t>
    </r>
    <r>
      <rPr>
        <sz val="11"/>
        <color theme="1"/>
        <rFont val="Aptos Narrow"/>
        <family val="2"/>
        <scheme val="minor"/>
      </rPr>
      <t xml:space="preserve"> et découpe en </t>
    </r>
    <r>
      <rPr>
        <b/>
        <sz val="11"/>
        <rFont val="Aptos Narrow"/>
        <family val="2"/>
        <scheme val="minor"/>
      </rPr>
      <t>sous-programmes</t>
    </r>
    <r>
      <rPr>
        <sz val="11"/>
        <color theme="1"/>
        <rFont val="Aptos Narrow"/>
        <family val="2"/>
        <scheme val="minor"/>
      </rPr>
      <t xml:space="preserve"> / fichiers</t>
    </r>
  </si>
  <si>
    <r>
      <t xml:space="preserve">Respect de la </t>
    </r>
    <r>
      <rPr>
        <b/>
        <sz val="11"/>
        <rFont val="Aptos Narrow"/>
        <family val="2"/>
        <scheme val="minor"/>
      </rPr>
      <t>donnée</t>
    </r>
  </si>
  <si>
    <t>Nom1</t>
  </si>
  <si>
    <t>Nom2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</si>
</sst>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i/>
      <sz val="10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thick">
        <color indexed="8"/>
      </top>
      <bottom style="hair">
        <color indexed="8"/>
      </bottom>
      <diagonal/>
    </border>
    <border>
      <left style="hair">
        <color indexed="8"/>
      </left>
      <right/>
      <top style="thick">
        <color indexed="8"/>
      </top>
      <bottom style="hair">
        <color indexed="8"/>
      </bottom>
      <diagonal/>
    </border>
    <border>
      <left/>
      <right/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 style="hair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9" fontId="0" fillId="2" borderId="0" xfId="1" applyFont="1" applyFill="1" applyBorder="1" applyAlignment="1" applyProtection="1">
      <alignment horizontal="center" vertical="center"/>
    </xf>
    <xf numFmtId="164" fontId="0" fillId="2" borderId="0" xfId="1" applyNumberFormat="1" applyFont="1" applyFill="1" applyBorder="1" applyAlignment="1" applyProtection="1">
      <alignment horizontal="center" vertical="center"/>
    </xf>
    <xf numFmtId="1" fontId="0" fillId="2" borderId="14" xfId="1" applyNumberFormat="1" applyFont="1" applyFill="1" applyBorder="1" applyAlignment="1" applyProtection="1">
      <alignment horizontal="center" vertical="center"/>
    </xf>
    <xf numFmtId="9" fontId="0" fillId="2" borderId="14" xfId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2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2" borderId="9" xfId="0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indent="1"/>
    </xf>
    <xf numFmtId="0" fontId="0" fillId="0" borderId="7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2" borderId="18" xfId="0" applyFill="1" applyBorder="1" applyAlignment="1">
      <alignment horizontal="center" vertical="center"/>
    </xf>
    <xf numFmtId="164" fontId="7" fillId="2" borderId="19" xfId="0" applyNumberFormat="1" applyFont="1" applyFill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4" fontId="2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5">
    <dxf>
      <font>
        <b val="0"/>
        <condense val="0"/>
        <extend val="0"/>
        <color indexed="22"/>
      </font>
    </dxf>
    <dxf>
      <font>
        <b val="0"/>
        <condense val="0"/>
        <extend val="0"/>
        <color indexed="22"/>
      </font>
    </dxf>
    <dxf>
      <font>
        <b val="0"/>
        <condense val="0"/>
        <extend val="0"/>
        <color indexed="22"/>
      </font>
    </dxf>
    <dxf>
      <font>
        <b val="0"/>
        <condense val="0"/>
        <extend val="0"/>
        <color indexed="22"/>
      </font>
    </dxf>
    <dxf>
      <font>
        <b val="0"/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F28D-05D8-4DDC-BE7A-FBB03AC9C03E}">
  <dimension ref="A1:Q28"/>
  <sheetViews>
    <sheetView tabSelected="1" zoomScaleNormal="100" workbookViewId="0">
      <selection activeCell="F6" sqref="F6"/>
    </sheetView>
  </sheetViews>
  <sheetFormatPr defaultRowHeight="15" x14ac:dyDescent="0.25"/>
  <cols>
    <col min="1" max="1" width="13.140625" customWidth="1"/>
    <col min="2" max="2" width="58.85546875" customWidth="1"/>
    <col min="5" max="17" width="10.7109375" customWidth="1"/>
  </cols>
  <sheetData>
    <row r="1" spans="1:17" x14ac:dyDescent="0.25">
      <c r="A1" s="5" t="s">
        <v>9</v>
      </c>
      <c r="B1" s="5" t="s">
        <v>0</v>
      </c>
      <c r="C1" s="5" t="s">
        <v>1</v>
      </c>
      <c r="D1" s="6" t="s">
        <v>2</v>
      </c>
      <c r="E1" s="7">
        <v>1</v>
      </c>
      <c r="F1" s="7">
        <v>2</v>
      </c>
      <c r="G1" s="7">
        <v>3</v>
      </c>
      <c r="H1" s="7">
        <v>4</v>
      </c>
      <c r="I1" s="7">
        <v>5</v>
      </c>
      <c r="J1" s="7">
        <v>6</v>
      </c>
      <c r="K1" s="7">
        <v>7</v>
      </c>
      <c r="L1" s="7">
        <v>8</v>
      </c>
      <c r="M1" s="7">
        <v>9</v>
      </c>
      <c r="N1" s="7">
        <v>10</v>
      </c>
      <c r="O1" s="7">
        <v>11</v>
      </c>
      <c r="P1" s="7">
        <v>12</v>
      </c>
      <c r="Q1" s="7">
        <v>13</v>
      </c>
    </row>
    <row r="2" spans="1:17" ht="50.1" customHeight="1" x14ac:dyDescent="0.25">
      <c r="A2" s="8"/>
      <c r="B2" s="8"/>
      <c r="C2" s="8"/>
      <c r="D2" s="8"/>
      <c r="E2" s="9" t="s">
        <v>28</v>
      </c>
      <c r="F2" s="9" t="s">
        <v>28</v>
      </c>
      <c r="G2" s="9" t="s">
        <v>28</v>
      </c>
      <c r="H2" s="9" t="s">
        <v>28</v>
      </c>
      <c r="I2" s="9" t="s">
        <v>28</v>
      </c>
      <c r="J2" s="9" t="s">
        <v>28</v>
      </c>
      <c r="K2" s="9" t="s">
        <v>28</v>
      </c>
      <c r="L2" s="9" t="s">
        <v>28</v>
      </c>
      <c r="M2" s="9" t="s">
        <v>28</v>
      </c>
      <c r="N2" s="9" t="s">
        <v>28</v>
      </c>
      <c r="O2" s="9" t="s">
        <v>28</v>
      </c>
      <c r="P2" s="9" t="s">
        <v>28</v>
      </c>
      <c r="Q2" s="9" t="s">
        <v>28</v>
      </c>
    </row>
    <row r="3" spans="1:17" ht="50.1" customHeight="1" thickBot="1" x14ac:dyDescent="0.3">
      <c r="A3" s="10"/>
      <c r="B3" s="10"/>
      <c r="C3" s="10"/>
      <c r="D3" s="10"/>
      <c r="E3" s="45" t="s">
        <v>29</v>
      </c>
      <c r="F3" s="45" t="s">
        <v>29</v>
      </c>
      <c r="G3" s="45" t="s">
        <v>29</v>
      </c>
      <c r="H3" s="45" t="s">
        <v>29</v>
      </c>
      <c r="I3" s="45" t="s">
        <v>29</v>
      </c>
      <c r="J3" s="45" t="s">
        <v>29</v>
      </c>
      <c r="K3" s="45" t="s">
        <v>29</v>
      </c>
      <c r="L3" s="45" t="s">
        <v>29</v>
      </c>
      <c r="M3" s="45" t="s">
        <v>29</v>
      </c>
      <c r="N3" s="45" t="s">
        <v>29</v>
      </c>
      <c r="O3" s="45" t="s">
        <v>29</v>
      </c>
      <c r="P3" s="45" t="s">
        <v>29</v>
      </c>
      <c r="Q3" s="45" t="s">
        <v>29</v>
      </c>
    </row>
    <row r="4" spans="1:17" ht="15.75" thickTop="1" x14ac:dyDescent="0.25">
      <c r="A4" s="11" t="s">
        <v>3</v>
      </c>
      <c r="B4" s="12"/>
      <c r="C4" s="13">
        <f>SUM(C5:C14)</f>
        <v>36</v>
      </c>
      <c r="D4" s="4"/>
      <c r="E4" s="14">
        <f>SUM(E5:E14)</f>
        <v>0</v>
      </c>
      <c r="F4" s="14">
        <f t="shared" ref="F4:Q4" si="0">SUM(F5:F14)</f>
        <v>2</v>
      </c>
      <c r="G4" s="14">
        <f t="shared" si="0"/>
        <v>0</v>
      </c>
      <c r="H4" s="14">
        <f t="shared" si="0"/>
        <v>0</v>
      </c>
      <c r="I4" s="14">
        <f t="shared" si="0"/>
        <v>4</v>
      </c>
      <c r="J4" s="14">
        <f t="shared" si="0"/>
        <v>0</v>
      </c>
      <c r="K4" s="14">
        <f t="shared" si="0"/>
        <v>0</v>
      </c>
      <c r="L4" s="14">
        <f t="shared" si="0"/>
        <v>0</v>
      </c>
      <c r="M4" s="14">
        <f t="shared" si="0"/>
        <v>0</v>
      </c>
      <c r="N4" s="14">
        <f t="shared" si="0"/>
        <v>0</v>
      </c>
      <c r="O4" s="14">
        <f t="shared" si="0"/>
        <v>0</v>
      </c>
      <c r="P4" s="14">
        <f t="shared" si="0"/>
        <v>0</v>
      </c>
      <c r="Q4" s="14">
        <f t="shared" si="0"/>
        <v>0</v>
      </c>
    </row>
    <row r="5" spans="1:17" x14ac:dyDescent="0.25">
      <c r="A5" s="15">
        <f>ROW()-ROW($A$1)</f>
        <v>4</v>
      </c>
      <c r="B5" s="40" t="s">
        <v>20</v>
      </c>
      <c r="C5" s="16">
        <v>4</v>
      </c>
      <c r="D5" s="1">
        <f t="shared" ref="D5:D14" si="1">IF(C5=0,"",AVERAGE(E5:Q5)/C5)</f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</row>
    <row r="6" spans="1:17" x14ac:dyDescent="0.25">
      <c r="A6" s="15">
        <f t="shared" ref="A6:A14" si="2">ROW()-ROW($A$1)</f>
        <v>5</v>
      </c>
      <c r="B6" s="42" t="s">
        <v>21</v>
      </c>
      <c r="C6" s="18">
        <v>4</v>
      </c>
      <c r="D6" s="1">
        <f t="shared" si="1"/>
        <v>0.11538461538461539</v>
      </c>
      <c r="E6" s="17">
        <v>0</v>
      </c>
      <c r="F6" s="17">
        <v>2</v>
      </c>
      <c r="G6" s="17">
        <v>0</v>
      </c>
      <c r="H6" s="17">
        <v>0</v>
      </c>
      <c r="I6" s="17">
        <v>4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</row>
    <row r="7" spans="1:17" x14ac:dyDescent="0.25">
      <c r="A7" s="15">
        <f t="shared" si="2"/>
        <v>6</v>
      </c>
      <c r="B7" s="43" t="s">
        <v>22</v>
      </c>
      <c r="C7" s="18">
        <v>2</v>
      </c>
      <c r="D7" s="1">
        <f t="shared" si="1"/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</row>
    <row r="8" spans="1:17" x14ac:dyDescent="0.25">
      <c r="A8" s="15">
        <f t="shared" si="2"/>
        <v>7</v>
      </c>
      <c r="B8" s="41" t="s">
        <v>23</v>
      </c>
      <c r="C8" s="18">
        <v>2</v>
      </c>
      <c r="D8" s="1">
        <f t="shared" si="1"/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</row>
    <row r="9" spans="1:17" x14ac:dyDescent="0.25">
      <c r="A9" s="15">
        <f t="shared" si="2"/>
        <v>8</v>
      </c>
      <c r="B9" s="40" t="s">
        <v>24</v>
      </c>
      <c r="C9" s="18">
        <v>4</v>
      </c>
      <c r="D9" s="1">
        <f t="shared" si="1"/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</row>
    <row r="10" spans="1:17" x14ac:dyDescent="0.25">
      <c r="A10" s="15">
        <f t="shared" si="2"/>
        <v>9</v>
      </c>
      <c r="B10" s="42" t="s">
        <v>25</v>
      </c>
      <c r="C10" s="18">
        <v>4</v>
      </c>
      <c r="D10" s="1">
        <f t="shared" si="1"/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</row>
    <row r="11" spans="1:17" x14ac:dyDescent="0.25">
      <c r="A11" s="15">
        <f t="shared" si="2"/>
        <v>10</v>
      </c>
      <c r="B11" s="42" t="s">
        <v>26</v>
      </c>
      <c r="C11" s="18">
        <v>6</v>
      </c>
      <c r="D11" s="1">
        <f t="shared" si="1"/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</row>
    <row r="12" spans="1:17" x14ac:dyDescent="0.25">
      <c r="A12" s="15">
        <f t="shared" si="2"/>
        <v>11</v>
      </c>
      <c r="B12" s="41" t="s">
        <v>19</v>
      </c>
      <c r="C12" s="18">
        <v>4</v>
      </c>
      <c r="D12" s="1">
        <f t="shared" si="1"/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</row>
    <row r="13" spans="1:17" x14ac:dyDescent="0.25">
      <c r="A13" s="15">
        <f t="shared" si="2"/>
        <v>12</v>
      </c>
      <c r="B13" s="40" t="s">
        <v>18</v>
      </c>
      <c r="C13" s="18">
        <v>2</v>
      </c>
      <c r="D13" s="1">
        <f t="shared" si="1"/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</row>
    <row r="14" spans="1:17" ht="15.75" thickBot="1" x14ac:dyDescent="0.3">
      <c r="A14" s="15">
        <f t="shared" si="2"/>
        <v>13</v>
      </c>
      <c r="B14" s="40" t="s">
        <v>27</v>
      </c>
      <c r="C14" s="18">
        <v>4</v>
      </c>
      <c r="D14" s="1">
        <f t="shared" si="1"/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</row>
    <row r="15" spans="1:17" ht="15.75" thickTop="1" x14ac:dyDescent="0.25">
      <c r="A15" s="11" t="s">
        <v>8</v>
      </c>
      <c r="B15" s="19"/>
      <c r="C15" s="13">
        <f>SUM(C16:C19)</f>
        <v>14</v>
      </c>
      <c r="D15" s="4"/>
      <c r="E15" s="14">
        <f>SUM(E16:E19)</f>
        <v>0</v>
      </c>
      <c r="F15" s="14">
        <f t="shared" ref="F15:Q15" si="3">SUM(F16:F19)</f>
        <v>0</v>
      </c>
      <c r="G15" s="14">
        <f t="shared" si="3"/>
        <v>0</v>
      </c>
      <c r="H15" s="14">
        <f t="shared" si="3"/>
        <v>0</v>
      </c>
      <c r="I15" s="14">
        <f t="shared" si="3"/>
        <v>0</v>
      </c>
      <c r="J15" s="14">
        <f t="shared" si="3"/>
        <v>0</v>
      </c>
      <c r="K15" s="14">
        <f t="shared" si="3"/>
        <v>0</v>
      </c>
      <c r="L15" s="14">
        <f t="shared" si="3"/>
        <v>0</v>
      </c>
      <c r="M15" s="14">
        <f t="shared" si="3"/>
        <v>0</v>
      </c>
      <c r="N15" s="14">
        <f t="shared" si="3"/>
        <v>0</v>
      </c>
      <c r="O15" s="14">
        <f t="shared" si="3"/>
        <v>0</v>
      </c>
      <c r="P15" s="14">
        <f t="shared" si="3"/>
        <v>0</v>
      </c>
      <c r="Q15" s="14">
        <f t="shared" si="3"/>
        <v>0</v>
      </c>
    </row>
    <row r="16" spans="1:17" x14ac:dyDescent="0.25">
      <c r="A16" s="15">
        <f>ROW()-ROW($A$1)</f>
        <v>15</v>
      </c>
      <c r="B16" s="20" t="s">
        <v>17</v>
      </c>
      <c r="C16" s="18">
        <v>6</v>
      </c>
      <c r="D16" s="1">
        <f>IF(C16=0,"",AVERAGE(E16:Q16)/C16)</f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</row>
    <row r="17" spans="1:17" x14ac:dyDescent="0.25">
      <c r="A17" s="15">
        <f t="shared" ref="A17:A19" si="4">ROW()-ROW($A$1)</f>
        <v>16</v>
      </c>
      <c r="B17" s="20" t="s">
        <v>13</v>
      </c>
      <c r="C17" s="18">
        <v>6</v>
      </c>
      <c r="D17" s="1">
        <f>IF(C17=0,"",AVERAGE(E17:Q17)/C17)</f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</row>
    <row r="18" spans="1:17" x14ac:dyDescent="0.25">
      <c r="A18" s="15">
        <f t="shared" si="4"/>
        <v>17</v>
      </c>
      <c r="B18" s="20" t="s">
        <v>15</v>
      </c>
      <c r="C18" s="18">
        <v>2</v>
      </c>
      <c r="D18" s="1">
        <f>IF(C18=0,"",AVERAGE(E18:Q18)/C18)</f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</row>
    <row r="19" spans="1:17" ht="15.75" thickBot="1" x14ac:dyDescent="0.3">
      <c r="A19" s="15">
        <f t="shared" si="4"/>
        <v>18</v>
      </c>
      <c r="B19" s="20" t="s">
        <v>16</v>
      </c>
      <c r="C19" s="18">
        <v>0</v>
      </c>
      <c r="D19" s="1" t="str">
        <f>IF(C19=0,"",AVERAGE(E19:Q19)/C19)</f>
        <v/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</row>
    <row r="20" spans="1:17" ht="15.75" thickTop="1" x14ac:dyDescent="0.25">
      <c r="A20" s="21"/>
      <c r="B20" s="19" t="s">
        <v>4</v>
      </c>
      <c r="C20" s="22">
        <f>SUM(C4+C15)</f>
        <v>50</v>
      </c>
      <c r="D20" s="3">
        <f>AVERAGE(E20:Q20)</f>
        <v>0.46153846153846156</v>
      </c>
      <c r="E20" s="23">
        <f>SUM(E5:E14)+SUM(E16:E19)</f>
        <v>0</v>
      </c>
      <c r="F20" s="23">
        <f t="shared" ref="F20:Q20" si="5">SUM(F5:F14)+SUM(F16:F19)</f>
        <v>2</v>
      </c>
      <c r="G20" s="23">
        <f t="shared" si="5"/>
        <v>0</v>
      </c>
      <c r="H20" s="23">
        <f t="shared" si="5"/>
        <v>0</v>
      </c>
      <c r="I20" s="23">
        <f t="shared" si="5"/>
        <v>4</v>
      </c>
      <c r="J20" s="23">
        <f t="shared" si="5"/>
        <v>0</v>
      </c>
      <c r="K20" s="23">
        <f t="shared" si="5"/>
        <v>0</v>
      </c>
      <c r="L20" s="23">
        <f t="shared" si="5"/>
        <v>0</v>
      </c>
      <c r="M20" s="23">
        <f t="shared" si="5"/>
        <v>0</v>
      </c>
      <c r="N20" s="23">
        <f t="shared" si="5"/>
        <v>0</v>
      </c>
      <c r="O20" s="23">
        <f t="shared" si="5"/>
        <v>0</v>
      </c>
      <c r="P20" s="23">
        <f t="shared" si="5"/>
        <v>0</v>
      </c>
      <c r="Q20" s="23">
        <f t="shared" si="5"/>
        <v>0</v>
      </c>
    </row>
    <row r="21" spans="1:17" ht="15.75" thickBot="1" x14ac:dyDescent="0.3">
      <c r="A21" s="24"/>
      <c r="B21" s="25" t="s">
        <v>5</v>
      </c>
      <c r="C21" s="26"/>
      <c r="D21" s="27">
        <f>ROUND(AVERAGE(E21:Q21),1)</f>
        <v>1</v>
      </c>
      <c r="E21" s="44">
        <f>1+(E20/$C$20*5)</f>
        <v>1</v>
      </c>
      <c r="F21" s="44">
        <f t="shared" ref="F21:Q21" si="6">1+(F20/$C$20*5)</f>
        <v>1.2</v>
      </c>
      <c r="G21" s="44">
        <f t="shared" si="6"/>
        <v>1</v>
      </c>
      <c r="H21" s="44">
        <f t="shared" si="6"/>
        <v>1</v>
      </c>
      <c r="I21" s="44">
        <f t="shared" si="6"/>
        <v>1.4</v>
      </c>
      <c r="J21" s="44">
        <f t="shared" si="6"/>
        <v>1</v>
      </c>
      <c r="K21" s="44">
        <f t="shared" si="6"/>
        <v>1</v>
      </c>
      <c r="L21" s="44">
        <f t="shared" si="6"/>
        <v>1</v>
      </c>
      <c r="M21" s="44">
        <f>1+(M20/$C$20*5)</f>
        <v>1</v>
      </c>
      <c r="N21" s="44">
        <f t="shared" si="6"/>
        <v>1</v>
      </c>
      <c r="O21" s="44">
        <f t="shared" si="6"/>
        <v>1</v>
      </c>
      <c r="P21" s="44">
        <f t="shared" si="6"/>
        <v>1</v>
      </c>
      <c r="Q21" s="44">
        <f t="shared" si="6"/>
        <v>1</v>
      </c>
    </row>
    <row r="22" spans="1:17" ht="15.75" thickTop="1" x14ac:dyDescent="0.25">
      <c r="A22" s="28" t="s">
        <v>6</v>
      </c>
      <c r="B22" s="19"/>
      <c r="C22" s="13">
        <v>0</v>
      </c>
      <c r="D22" s="13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</row>
    <row r="23" spans="1:17" x14ac:dyDescent="0.25">
      <c r="A23" s="15">
        <f>ROW()-ROW($A$1)</f>
        <v>22</v>
      </c>
      <c r="B23" s="29" t="s">
        <v>12</v>
      </c>
      <c r="C23" s="18">
        <v>0</v>
      </c>
      <c r="D23" s="1"/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</row>
    <row r="24" spans="1:17" x14ac:dyDescent="0.25">
      <c r="A24" s="15">
        <f t="shared" ref="A24:A26" si="7">ROW()-ROW($A$1)</f>
        <v>23</v>
      </c>
      <c r="B24" s="31" t="s">
        <v>14</v>
      </c>
      <c r="C24" s="18">
        <v>0</v>
      </c>
      <c r="D24" s="18"/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</row>
    <row r="25" spans="1:17" x14ac:dyDescent="0.25">
      <c r="A25" s="15">
        <f t="shared" si="7"/>
        <v>24</v>
      </c>
      <c r="B25" s="31" t="s">
        <v>11</v>
      </c>
      <c r="C25" s="18">
        <v>0</v>
      </c>
      <c r="D25" s="2"/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</row>
    <row r="26" spans="1:17" x14ac:dyDescent="0.25">
      <c r="A26" s="15">
        <f t="shared" si="7"/>
        <v>25</v>
      </c>
      <c r="B26" s="32" t="s">
        <v>7</v>
      </c>
      <c r="C26" s="18">
        <v>0</v>
      </c>
      <c r="D26" s="18"/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</row>
    <row r="27" spans="1:17" ht="15.75" thickBot="1" x14ac:dyDescent="0.3">
      <c r="A27" s="33"/>
      <c r="B27" s="34"/>
      <c r="C27" s="26"/>
      <c r="D27" s="26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</row>
    <row r="28" spans="1:17" ht="24.75" thickBot="1" x14ac:dyDescent="0.3">
      <c r="A28" s="33"/>
      <c r="B28" s="36" t="s">
        <v>10</v>
      </c>
      <c r="C28" s="37"/>
      <c r="D28" s="38">
        <f>ROUND(AVERAGE(E28:Q28),1)</f>
        <v>1</v>
      </c>
      <c r="E28" s="39">
        <f t="shared" ref="E28:Q28" si="8">E21-SUM(E23:E26)</f>
        <v>1</v>
      </c>
      <c r="F28" s="39">
        <f t="shared" si="8"/>
        <v>1.2</v>
      </c>
      <c r="G28" s="39">
        <f t="shared" si="8"/>
        <v>1</v>
      </c>
      <c r="H28" s="39">
        <f t="shared" si="8"/>
        <v>1</v>
      </c>
      <c r="I28" s="39">
        <f t="shared" si="8"/>
        <v>1.4</v>
      </c>
      <c r="J28" s="39">
        <f t="shared" si="8"/>
        <v>1</v>
      </c>
      <c r="K28" s="39">
        <f t="shared" si="8"/>
        <v>1</v>
      </c>
      <c r="L28" s="39">
        <f t="shared" si="8"/>
        <v>1</v>
      </c>
      <c r="M28" s="39">
        <f t="shared" si="8"/>
        <v>1</v>
      </c>
      <c r="N28" s="39">
        <f t="shared" si="8"/>
        <v>1</v>
      </c>
      <c r="O28" s="39">
        <f t="shared" si="8"/>
        <v>1</v>
      </c>
      <c r="P28" s="39">
        <f t="shared" si="8"/>
        <v>1</v>
      </c>
      <c r="Q28" s="39">
        <f t="shared" si="8"/>
        <v>1</v>
      </c>
    </row>
  </sheetData>
  <conditionalFormatting sqref="E27:I28">
    <cfRule type="cellIs" dxfId="4" priority="5" stopIfTrue="1" operator="equal">
      <formula>0</formula>
    </cfRule>
  </conditionalFormatting>
  <conditionalFormatting sqref="E4:Q14 E16:Q19 R18:S18">
    <cfRule type="cellIs" dxfId="3" priority="1" stopIfTrue="1" operator="equal">
      <formula>$D4</formula>
    </cfRule>
  </conditionalFormatting>
  <conditionalFormatting sqref="E15:Q15">
    <cfRule type="cellIs" dxfId="2" priority="2" stopIfTrue="1" operator="equal">
      <formula>$D$12</formula>
    </cfRule>
  </conditionalFormatting>
  <conditionalFormatting sqref="E20:Q26 J27:Q27">
    <cfRule type="cellIs" dxfId="1" priority="3" stopIfTrue="1" operator="equal">
      <formula>0</formula>
    </cfRule>
  </conditionalFormatting>
  <conditionalFormatting sqref="E28:Q28">
    <cfRule type="cellIs" dxfId="0" priority="4" stopIfTrue="1" operator="equal">
      <formula>0</formula>
    </cfRule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Grading</vt:lpstr>
      <vt:lpstr>Départ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Fazlija Ylli</dc:creator>
  <cp:lastModifiedBy>Fazlija Ylli</cp:lastModifiedBy>
  <dcterms:created xsi:type="dcterms:W3CDTF">2025-10-16T13:32:47Z</dcterms:created>
  <dcterms:modified xsi:type="dcterms:W3CDTF">2025-11-12T12:15:36Z</dcterms:modified>
</cp:coreProperties>
</file>